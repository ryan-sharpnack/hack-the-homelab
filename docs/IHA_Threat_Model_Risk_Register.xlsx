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hreat Model" sheetId="1" r:id="rId5"/>
    <sheet state="visible" name="Risk Register" sheetId="2" r:id="rId6"/>
    <sheet state="visible" name="Summary" sheetId="3" r:id="rId7"/>
  </sheets>
  <definedNames/>
  <calcPr/>
</workbook>
</file>

<file path=xl/sharedStrings.xml><?xml version="1.0" encoding="utf-8"?>
<sst xmlns="http://schemas.openxmlformats.org/spreadsheetml/2006/main" count="91" uniqueCount="73">
  <si>
    <t>Ironbridge Health Alliance  —  Threat Model</t>
  </si>
  <si>
    <t>Documented, publicly known healthcare breach and ransomware patterns — not hypothetical scenarios</t>
  </si>
  <si>
    <t>Threat ID</t>
  </si>
  <si>
    <t>Scenario</t>
  </si>
  <si>
    <t>Real-World Pattern It Reflects</t>
  </si>
  <si>
    <t>Where It Lives in This Build</t>
  </si>
  <si>
    <t>Related Risk ID</t>
  </si>
  <si>
    <t>T-1</t>
  </si>
  <si>
    <t>Legacy trust abuse</t>
  </si>
  <si>
    <t>Acquired-entity trust relationships used as a lateral movement path in M&amp;A-driven breaches</t>
  </si>
  <si>
    <t>HAWTHORNE.LOCAL → IRONBRIDGE.LOCAL trust</t>
  </si>
  <si>
    <t>IHA-001</t>
  </si>
  <si>
    <t>T-2</t>
  </si>
  <si>
    <t>Unpatched SMB / lateral spread</t>
  </si>
  <si>
    <t>The 2017 WannaCry pattern — worm-style spread across an unpatched, flat network</t>
  </si>
  <si>
    <t>Hospital clinical VLAN (VLAN 20)</t>
  </si>
  <si>
    <t>IHA-002</t>
  </si>
  <si>
    <t>T-3</t>
  </si>
  <si>
    <t>Missing MFA on remote access</t>
  </si>
  <si>
    <t>Credential-based compromise of remote access without MFA, seen in multiple major recent healthcare breaches</t>
  </si>
  <si>
    <t>FW01 VPN / remote admin access</t>
  </si>
  <si>
    <t>IHA-003</t>
  </si>
  <si>
    <t>T-4</t>
  </si>
  <si>
    <t>Kerberoasting on service accounts</t>
  </si>
  <si>
    <t>Credential theft via weak Kerberos service account hygiene</t>
  </si>
  <si>
    <t>OU=ServiceAccounts, IRONBRIDGE.LOCAL</t>
  </si>
  <si>
    <t>IHA-004</t>
  </si>
  <si>
    <t>T-5</t>
  </si>
  <si>
    <t>Weak backup/recovery posture</t>
  </si>
  <si>
    <t>Ransomware impact amplified by inadequate backup strategy</t>
  </si>
  <si>
    <t>Contingency planning control (see GRC Mapping)</t>
  </si>
  <si>
    <t>IHA-005</t>
  </si>
  <si>
    <t>T-6</t>
  </si>
  <si>
    <t>Host-level cross-VLAN forwarding</t>
  </si>
  <si>
    <t>Hypervisor/virtualization host misconfiguration enabling a network segmentation bypass independent of firewall policy enforcement</t>
  </si>
  <si>
    <t>KVM/QEMU host; virbr1/2/3 (VLANs 10, 20, 30)</t>
  </si>
  <si>
    <t>IHA-006</t>
  </si>
  <si>
    <t>Living document — add a new row each time a new threat scenario is designed into the build.</t>
  </si>
  <si>
    <t>Ironbridge Health Alliance  —  Risk Register</t>
  </si>
  <si>
    <t>Tracking each risk from discovery through mitigation or verification — evidence of follow-through, not just findings</t>
  </si>
  <si>
    <t>Risk ID</t>
  </si>
  <si>
    <t>Risk</t>
  </si>
  <si>
    <t>Site/System</t>
  </si>
  <si>
    <t>Status</t>
  </si>
  <si>
    <t>Likelihood</t>
  </si>
  <si>
    <t>Impact</t>
  </si>
  <si>
    <t>Date Identified</t>
  </si>
  <si>
    <t>Date Resolved</t>
  </si>
  <si>
    <t>Notes</t>
  </si>
  <si>
    <t>One-way AD trust exposes corporate forest to compromise via a less-hardened legacy domain</t>
  </si>
  <si>
    <t>Hawthorne → Ironbridge trust</t>
  </si>
  <si>
    <t>Open</t>
  </si>
  <si>
    <t>2026-07-06</t>
  </si>
  <si>
    <t>Flat clinical VLAN increases lateral movement risk between hospital systems</t>
  </si>
  <si>
    <t>VLAN 20 (Hospital)</t>
  </si>
  <si>
    <t>Remote administrative access lacks MFA</t>
  </si>
  <si>
    <t>FW01</t>
  </si>
  <si>
    <t>Kerberos audit policy not yet configured; service accounts vulnerable to credential-theft techniques</t>
  </si>
  <si>
    <t>IRONBRIDGE.LOCAL, ServiceAccounts OU</t>
  </si>
  <si>
    <t>Backup and recovery strategy not yet defined or tested</t>
  </si>
  <si>
    <t>All sites</t>
  </si>
  <si>
    <t>Host (KVM/QEMU) is multi-homed across all VLANs with IP forwarding enabled, creating a theoretical risk of bridging traffic between segments and bypassing FW01</t>
  </si>
  <si>
    <t>KVM/QEMU host; virbr1/2/3 (all VLANs)</t>
  </si>
  <si>
    <t>Verified - Not Exploitable</t>
  </si>
  <si>
    <t>Low</t>
  </si>
  <si>
    <t>High</t>
  </si>
  <si>
    <t>Verified via iptables FORWARD/LIBVIRT_FWI/FWO/FWX chains: base policy DROP, explicit REJECT-all on virbr1-3, only same-bridge ACCEPT rules exist. FW01 remains sole inter-segment path. Recommend periodic re-verification after host OS/libvirt updates; consider explicit host-level DROP rules between virbr1/2/3 as future defense-in-depth.</t>
  </si>
  <si>
    <t>Living document — update Status, Date Resolved, and Notes as each risk is mitigated or verified during the build.</t>
  </si>
  <si>
    <t>Progress Summary</t>
  </si>
  <si>
    <t>Last updated</t>
  </si>
  <si>
    <t>Total Risks</t>
  </si>
  <si>
    <t>Mitigated</t>
  </si>
  <si>
    <t>% Resolved or Verified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</si>
</sst>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-mm-dd"/>
    <numFmt numFmtId="165" formatCode="0.0%"/>
  </numFmts>
  <fonts count="10">
    <font>
      <sz val="11.0"/>
      <color theme="1"/>
      <name val="Calibri"/>
      <scheme val="minor"/>
    </font>
    <font>
      <b/>
      <sz val="16.0"/>
      <color rgb="FFFFFFFF"/>
      <name val="Calibri"/>
    </font>
    <font/>
    <font>
      <i/>
      <sz val="10.0"/>
      <color rgb="FF14495A"/>
      <name val="Calibri"/>
    </font>
    <font>
      <b/>
      <sz val="10.0"/>
      <color rgb="FFFFFFFF"/>
      <name val="Calibri"/>
    </font>
    <font>
      <sz val="10.0"/>
      <color rgb="FF222222"/>
      <name val="Calibri"/>
    </font>
    <font>
      <i/>
      <sz val="9.0"/>
      <color rgb="FF777777"/>
      <name val="Calibri"/>
    </font>
    <font>
      <b/>
      <sz val="14.0"/>
      <color rgb="FF14495A"/>
      <name val="Calibri"/>
    </font>
    <font>
      <b/>
      <sz val="11.0"/>
      <color rgb="FF222222"/>
      <name val="Calibri"/>
    </font>
    <font>
      <b/>
      <sz val="11.0"/>
      <color rgb="FF1E8A7A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14495A"/>
        <bgColor rgb="FF14495A"/>
      </patternFill>
    </fill>
    <fill>
      <patternFill patternType="solid">
        <fgColor rgb="FF1E8A7A"/>
        <bgColor rgb="FF1E8A7A"/>
      </patternFill>
    </fill>
    <fill>
      <patternFill patternType="solid">
        <fgColor rgb="FFF5F6F7"/>
        <bgColor rgb="FFF5F6F7"/>
      </patternFill>
    </fill>
    <fill>
      <patternFill patternType="solid">
        <fgColor rgb="FFFFFFFF"/>
        <bgColor rgb="FFFFFFFF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 style="thin">
        <color rgb="FFD9DCDE"/>
      </left>
      <right style="thin">
        <color rgb="FFD9DCDE"/>
      </right>
      <top style="thin">
        <color rgb="FFD9DCDE"/>
      </top>
      <bottom style="thin">
        <color rgb="FFD9DCDE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shrinkToFit="0" vertical="center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horizontal="left" shrinkToFit="0" vertical="center" wrapText="0"/>
    </xf>
    <xf borderId="4" fillId="3" fontId="4" numFmtId="0" xfId="0" applyAlignment="1" applyBorder="1" applyFill="1" applyFont="1">
      <alignment horizontal="center" shrinkToFit="0" vertical="center" wrapText="1"/>
    </xf>
    <xf borderId="4" fillId="4" fontId="5" numFmtId="0" xfId="0" applyAlignment="1" applyBorder="1" applyFill="1" applyFont="1">
      <alignment shrinkToFit="0" vertical="center" wrapText="1"/>
    </xf>
    <xf borderId="4" fillId="5" fontId="5" numFmtId="0" xfId="0" applyAlignment="1" applyBorder="1" applyFill="1" applyFont="1">
      <alignment shrinkToFit="0" vertical="center" wrapText="1"/>
    </xf>
    <xf borderId="0" fillId="0" fontId="6" numFmtId="0" xfId="0" applyAlignment="1" applyFont="1">
      <alignment shrinkToFit="0" vertical="bottom" wrapText="0"/>
    </xf>
    <xf borderId="0" fillId="0" fontId="7" numFmtId="0" xfId="0" applyAlignment="1" applyFont="1">
      <alignment shrinkToFit="0" vertical="bottom" wrapText="0"/>
    </xf>
    <xf borderId="0" fillId="0" fontId="6" numFmtId="164" xfId="0" applyAlignment="1" applyFont="1" applyNumberFormat="1">
      <alignment readingOrder="0" shrinkToFit="0" vertical="bottom" wrapText="0"/>
    </xf>
    <xf borderId="4" fillId="4" fontId="8" numFmtId="0" xfId="0" applyAlignment="1" applyBorder="1" applyFont="1">
      <alignment shrinkToFit="0" vertical="center" wrapText="0"/>
    </xf>
    <xf borderId="4" fillId="5" fontId="9" numFmtId="0" xfId="0" applyAlignment="1" applyBorder="1" applyFont="1">
      <alignment horizontal="center" shrinkToFit="0" vertical="center" wrapText="0"/>
    </xf>
    <xf borderId="4" fillId="5" fontId="9" numFmtId="165" xfId="0" applyAlignment="1" applyBorder="1" applyFont="1" applyNumberFormat="1">
      <alignment horizontal="center" shrinkToFit="0" vertical="center" wrapText="0"/>
    </xf>
  </cellXfs>
  <cellStyles count="1">
    <cellStyle xfId="0" name="Normal" builtinId="0"/>
  </cellStyles>
  <dxfs count="3">
    <dxf>
      <font/>
      <fill>
        <patternFill patternType="solid">
          <fgColor rgb="FFF4CCCC"/>
          <bgColor rgb="FFF4CCCC"/>
        </patternFill>
      </fill>
      <border/>
    </dxf>
    <dxf>
      <font/>
      <fill>
        <patternFill patternType="solid">
          <fgColor rgb="FFD9EAD3"/>
          <bgColor rgb="FFD9EAD3"/>
        </patternFill>
      </fill>
      <border/>
    </dxf>
    <dxf>
      <font/>
      <fill>
        <patternFill patternType="solid">
          <fgColor rgb="FFD0E4F0"/>
          <bgColor rgb="FFD0E4F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10.0"/>
    <col customWidth="1" min="2" max="2" width="26.0"/>
    <col customWidth="1" min="3" max="3" width="46.0"/>
    <col customWidth="1" min="4" max="4" width="32.0"/>
    <col customWidth="1" min="5" max="5" width="14.0"/>
    <col customWidth="1" min="6" max="26" width="8.71"/>
  </cols>
  <sheetData>
    <row r="1" ht="31.5" customHeight="1">
      <c r="A1" s="1" t="s">
        <v>0</v>
      </c>
      <c r="B1" s="2"/>
      <c r="C1" s="2"/>
      <c r="D1" s="2"/>
      <c r="E1" s="3"/>
    </row>
    <row r="2" ht="19.5" customHeight="1">
      <c r="A2" s="4" t="s">
        <v>1</v>
      </c>
    </row>
    <row r="4" ht="30.0" customHeight="1">
      <c r="A4" s="5" t="s">
        <v>2</v>
      </c>
      <c r="B4" s="5" t="s">
        <v>3</v>
      </c>
      <c r="C4" s="5" t="s">
        <v>4</v>
      </c>
      <c r="D4" s="5" t="s">
        <v>5</v>
      </c>
      <c r="E4" s="5" t="s">
        <v>6</v>
      </c>
    </row>
    <row r="5">
      <c r="A5" s="6" t="s">
        <v>7</v>
      </c>
      <c r="B5" s="6" t="s">
        <v>8</v>
      </c>
      <c r="C5" s="6" t="s">
        <v>9</v>
      </c>
      <c r="D5" s="6" t="s">
        <v>10</v>
      </c>
      <c r="E5" s="6" t="s">
        <v>11</v>
      </c>
    </row>
    <row r="6">
      <c r="A6" s="7" t="s">
        <v>12</v>
      </c>
      <c r="B6" s="7" t="s">
        <v>13</v>
      </c>
      <c r="C6" s="7" t="s">
        <v>14</v>
      </c>
      <c r="D6" s="7" t="s">
        <v>15</v>
      </c>
      <c r="E6" s="7" t="s">
        <v>16</v>
      </c>
    </row>
    <row r="7">
      <c r="A7" s="6" t="s">
        <v>17</v>
      </c>
      <c r="B7" s="6" t="s">
        <v>18</v>
      </c>
      <c r="C7" s="6" t="s">
        <v>19</v>
      </c>
      <c r="D7" s="6" t="s">
        <v>20</v>
      </c>
      <c r="E7" s="6" t="s">
        <v>21</v>
      </c>
    </row>
    <row r="8">
      <c r="A8" s="7" t="s">
        <v>22</v>
      </c>
      <c r="B8" s="7" t="s">
        <v>23</v>
      </c>
      <c r="C8" s="7" t="s">
        <v>24</v>
      </c>
      <c r="D8" s="7" t="s">
        <v>25</v>
      </c>
      <c r="E8" s="7" t="s">
        <v>26</v>
      </c>
    </row>
    <row r="9">
      <c r="A9" s="6" t="s">
        <v>27</v>
      </c>
      <c r="B9" s="6" t="s">
        <v>28</v>
      </c>
      <c r="C9" s="6" t="s">
        <v>29</v>
      </c>
      <c r="D9" s="6" t="s">
        <v>30</v>
      </c>
      <c r="E9" s="6" t="s">
        <v>31</v>
      </c>
    </row>
    <row r="10">
      <c r="A10" s="7" t="s">
        <v>32</v>
      </c>
      <c r="B10" s="7" t="s">
        <v>33</v>
      </c>
      <c r="C10" s="7" t="s">
        <v>34</v>
      </c>
      <c r="D10" s="7" t="s">
        <v>35</v>
      </c>
      <c r="E10" s="7" t="s">
        <v>36</v>
      </c>
    </row>
    <row r="12">
      <c r="A12" s="8" t="s">
        <v>37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E1"/>
    <mergeCell ref="A2:E2"/>
    <mergeCell ref="A12:E12"/>
  </mergeCells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10.0"/>
    <col customWidth="1" min="2" max="2" width="40.0"/>
    <col customWidth="1" min="3" max="3" width="24.0"/>
    <col customWidth="1" min="4" max="4" width="20.0"/>
    <col customWidth="1" min="5" max="5" width="11.0"/>
    <col customWidth="1" min="6" max="6" width="9.0"/>
    <col customWidth="1" min="7" max="8" width="14.0"/>
    <col customWidth="1" min="9" max="9" width="40.0"/>
    <col customWidth="1" min="10" max="26" width="8.71"/>
  </cols>
  <sheetData>
    <row r="1" ht="31.5" customHeight="1">
      <c r="A1" s="1" t="s">
        <v>38</v>
      </c>
      <c r="B1" s="2"/>
      <c r="C1" s="2"/>
      <c r="D1" s="2"/>
      <c r="E1" s="2"/>
      <c r="F1" s="2"/>
      <c r="G1" s="2"/>
      <c r="H1" s="2"/>
      <c r="I1" s="3"/>
    </row>
    <row r="2" ht="19.5" customHeight="1">
      <c r="A2" s="4" t="s">
        <v>39</v>
      </c>
    </row>
    <row r="4" ht="30.0" customHeight="1">
      <c r="A4" s="5" t="s">
        <v>40</v>
      </c>
      <c r="B4" s="5" t="s">
        <v>41</v>
      </c>
      <c r="C4" s="5" t="s">
        <v>42</v>
      </c>
      <c r="D4" s="5" t="s">
        <v>43</v>
      </c>
      <c r="E4" s="5" t="s">
        <v>44</v>
      </c>
      <c r="F4" s="5" t="s">
        <v>45</v>
      </c>
      <c r="G4" s="5" t="s">
        <v>46</v>
      </c>
      <c r="H4" s="5" t="s">
        <v>47</v>
      </c>
      <c r="I4" s="5" t="s">
        <v>48</v>
      </c>
    </row>
    <row r="5">
      <c r="A5" s="6" t="s">
        <v>11</v>
      </c>
      <c r="B5" s="6" t="s">
        <v>49</v>
      </c>
      <c r="C5" s="6" t="s">
        <v>50</v>
      </c>
      <c r="D5" s="6" t="s">
        <v>51</v>
      </c>
      <c r="E5" s="6"/>
      <c r="F5" s="6"/>
      <c r="G5" s="6" t="s">
        <v>52</v>
      </c>
      <c r="H5" s="6"/>
      <c r="I5" s="6"/>
    </row>
    <row r="6">
      <c r="A6" s="7" t="s">
        <v>16</v>
      </c>
      <c r="B6" s="7" t="s">
        <v>53</v>
      </c>
      <c r="C6" s="7" t="s">
        <v>54</v>
      </c>
      <c r="D6" s="7" t="s">
        <v>51</v>
      </c>
      <c r="E6" s="7"/>
      <c r="F6" s="7"/>
      <c r="G6" s="7" t="s">
        <v>52</v>
      </c>
      <c r="H6" s="7"/>
      <c r="I6" s="7"/>
    </row>
    <row r="7">
      <c r="A7" s="6" t="s">
        <v>21</v>
      </c>
      <c r="B7" s="6" t="s">
        <v>55</v>
      </c>
      <c r="C7" s="6" t="s">
        <v>56</v>
      </c>
      <c r="D7" s="6" t="s">
        <v>51</v>
      </c>
      <c r="E7" s="6"/>
      <c r="F7" s="6"/>
      <c r="G7" s="6" t="s">
        <v>52</v>
      </c>
      <c r="H7" s="6"/>
      <c r="I7" s="6"/>
    </row>
    <row r="8">
      <c r="A8" s="7" t="s">
        <v>26</v>
      </c>
      <c r="B8" s="7" t="s">
        <v>57</v>
      </c>
      <c r="C8" s="7" t="s">
        <v>58</v>
      </c>
      <c r="D8" s="7" t="s">
        <v>51</v>
      </c>
      <c r="E8" s="7"/>
      <c r="F8" s="7"/>
      <c r="G8" s="7" t="s">
        <v>52</v>
      </c>
      <c r="H8" s="7"/>
      <c r="I8" s="7"/>
    </row>
    <row r="9">
      <c r="A9" s="6" t="s">
        <v>31</v>
      </c>
      <c r="B9" s="6" t="s">
        <v>59</v>
      </c>
      <c r="C9" s="6" t="s">
        <v>60</v>
      </c>
      <c r="D9" s="6" t="s">
        <v>51</v>
      </c>
      <c r="E9" s="6"/>
      <c r="F9" s="6"/>
      <c r="G9" s="6" t="s">
        <v>52</v>
      </c>
      <c r="H9" s="6"/>
      <c r="I9" s="6"/>
    </row>
    <row r="10">
      <c r="A10" s="7" t="s">
        <v>36</v>
      </c>
      <c r="B10" s="7" t="s">
        <v>61</v>
      </c>
      <c r="C10" s="7" t="s">
        <v>62</v>
      </c>
      <c r="D10" s="7" t="s">
        <v>63</v>
      </c>
      <c r="E10" s="7" t="s">
        <v>64</v>
      </c>
      <c r="F10" s="7" t="s">
        <v>65</v>
      </c>
      <c r="G10" s="7" t="s">
        <v>52</v>
      </c>
      <c r="H10" s="7" t="s">
        <v>52</v>
      </c>
      <c r="I10" s="7" t="s">
        <v>66</v>
      </c>
    </row>
    <row r="12">
      <c r="A12" s="8" t="s">
        <v>67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I1"/>
    <mergeCell ref="A2:I2"/>
    <mergeCell ref="A12:I12"/>
  </mergeCells>
  <conditionalFormatting sqref="D5:D10">
    <cfRule type="cellIs" dxfId="0" priority="1" operator="equal">
      <formula>"Open"</formula>
    </cfRule>
  </conditionalFormatting>
  <conditionalFormatting sqref="D5:D10">
    <cfRule type="cellIs" dxfId="1" priority="2" operator="equal">
      <formula>"Mitigated"</formula>
    </cfRule>
  </conditionalFormatting>
  <conditionalFormatting sqref="D5:D10">
    <cfRule type="cellIs" dxfId="2" priority="3" operator="equal">
      <formula>"Verified - Not Exploitable"</formula>
    </cfRule>
  </conditionalFormatting>
  <dataValidations>
    <dataValidation type="list" allowBlank="1" sqref="D5:D10">
      <formula1>"Open,Mitigated,Verified - Not Exploitable"</formula1>
    </dataValidation>
    <dataValidation type="list" allowBlank="1" sqref="E5:F10">
      <formula1>"Low,Medium,High"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4.0"/>
    <col customWidth="1" min="2" max="2" width="14.0"/>
    <col customWidth="1" min="3" max="26" width="8.71"/>
  </cols>
  <sheetData>
    <row r="1" ht="25.5" customHeight="1">
      <c r="A1" s="9" t="s">
        <v>68</v>
      </c>
    </row>
    <row r="2">
      <c r="A2" s="8" t="s">
        <v>69</v>
      </c>
      <c r="B2" s="10">
        <v>46210.0</v>
      </c>
    </row>
    <row r="4" ht="21.75" customHeight="1">
      <c r="A4" s="11" t="s">
        <v>70</v>
      </c>
      <c r="B4" s="12">
        <f>COUNTA('Risk Register'!A5:A10)</f>
        <v>6</v>
      </c>
    </row>
    <row r="5" ht="21.75" customHeight="1">
      <c r="A5" s="11" t="s">
        <v>51</v>
      </c>
      <c r="B5" s="12">
        <f>COUNTIF('Risk Register'!D5:D10,"Open")</f>
        <v>5</v>
      </c>
    </row>
    <row r="6" ht="21.75" customHeight="1">
      <c r="A6" s="11" t="s">
        <v>71</v>
      </c>
      <c r="B6" s="12">
        <f>COUNTIF('Risk Register'!D5:D10,"Mitigated")</f>
        <v>0</v>
      </c>
    </row>
    <row r="7" ht="21.75" customHeight="1">
      <c r="A7" s="11" t="s">
        <v>63</v>
      </c>
      <c r="B7" s="12">
        <f>COUNTIF('Risk Register'!D5:D10,"Verified - Not Exploitable")</f>
        <v>1</v>
      </c>
    </row>
    <row r="8" ht="21.75" customHeight="1">
      <c r="A8" s="11" t="s">
        <v>72</v>
      </c>
      <c r="B8" s="13">
        <f>(B6+B7)/B4</f>
        <v>0.1666666667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D1"/>
  </mergeCells>
  <printOptions/>
  <pageMargins bottom="1.0" footer="0.0" header="0.0" left="0.75" right="0.75" top="1.0"/>
  <pageSetup paperSize="9" orientation="portrait"/>
  <drawing r:id="rId1"/>
</worksheet>
</file>