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C Mapping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<sst xmlns="http://schemas.openxmlformats.org/spreadsheetml/2006/main" count="69" uniqueCount="62">
  <si>
    <t>Ironbridge Health Alliance  —  Compliance &amp; GRC Mapping</t>
  </si>
  <si>
    <t>Mapping each technical control to the regulatory language auditors and executives use — HIPAA, NIST 800-53, NIST 800-66, CIS Controls</t>
  </si>
  <si>
    <t>ID</t>
  </si>
  <si>
    <t>Control Area</t>
  </si>
  <si>
    <t>Technical Control</t>
  </si>
  <si>
    <t>HIPAA Reference</t>
  </si>
  <si>
    <t>NIST 800-53</t>
  </si>
  <si>
    <t>NIST 800-66</t>
  </si>
  <si>
    <t>CIS Control</t>
  </si>
  <si>
    <t>Status</t>
  </si>
  <si>
    <t>Date Planned</t>
  </si>
  <si>
    <t>Date Implemented</t>
  </si>
  <si>
    <t>Notes</t>
  </si>
  <si>
    <t>GRC-001</t>
  </si>
  <si>
    <t>Network segmentation</t>
  </si>
  <si>
    <t>VLAN isolation between corporate, clinical, and legacy segments</t>
  </si>
  <si>
    <t>§164.312(a)(1) Access Control</t>
  </si>
  <si>
    <t>SC-7 Boundary Protection</t>
  </si>
  <si>
    <t>Access control safeguards</t>
  </si>
  <si>
    <t>CIS Control 12 — Network Infrastructure Management</t>
  </si>
  <si>
    <t>Planned</t>
  </si>
  <si>
    <t>GRC-002</t>
  </si>
  <si>
    <t>Audit logging &amp; monitoring</t>
  </si>
  <si>
    <t>Wazuh centralized logging, alerting, FIM</t>
  </si>
  <si>
    <t>§164.312(b) Audit Controls</t>
  </si>
  <si>
    <t>AU-2, AU-6</t>
  </si>
  <si>
    <t>Audit controls implementation</t>
  </si>
  <si>
    <t>CIS Control 8 — Audit Log Management</t>
  </si>
  <si>
    <t>GRC-003</t>
  </si>
  <si>
    <t>Identity &amp; access management</t>
  </si>
  <si>
    <t>AD hardening, GPO baseline, trust scoping</t>
  </si>
  <si>
    <t>§164.312(a)(2)(i) Unique User ID</t>
  </si>
  <si>
    <t>AC-2, AC-6</t>
  </si>
  <si>
    <t>Person/entity authentication</t>
  </si>
  <si>
    <t>CIS Control 5/6 — Account &amp; Access Management</t>
  </si>
  <si>
    <t>GRC-004</t>
  </si>
  <si>
    <t>Vulnerability management</t>
  </si>
  <si>
    <t>Nessus scanning, patch cadence</t>
  </si>
  <si>
    <t>§164.308(a)(1) Risk Analysis</t>
  </si>
  <si>
    <t>RA-5 Vulnerability Scanning</t>
  </si>
  <si>
    <t>Risk analysis &amp; management</t>
  </si>
  <si>
    <t>CIS Control 7 — Continuous Vulnerability Management</t>
  </si>
  <si>
    <t>GRC-005</t>
  </si>
  <si>
    <t>Contingency planning</t>
  </si>
  <si>
    <t>Backup and recovery design</t>
  </si>
  <si>
    <t>§164.308(a)(7) Contingency Plan</t>
  </si>
  <si>
    <t>CP-9, CP-10</t>
  </si>
  <si>
    <t>Data backup plan</t>
  </si>
  <si>
    <t>CIS Control 11 — Data Recovery</t>
  </si>
  <si>
    <t>GRC-006</t>
  </si>
  <si>
    <t>Transmission security</t>
  </si>
  <si>
    <t>Encrypted remote access, MFA on VPN/admin access</t>
  </si>
  <si>
    <t>§164.312(e)(1) Transmission Security</t>
  </si>
  <si>
    <t>SC-8, IA-2</t>
  </si>
  <si>
    <t>CIS Control 6.5 — MFA for Remote Access</t>
  </si>
  <si>
    <t>Living document — update Status, Date Implemented, and Notes as each control is built out during weekly progress.</t>
  </si>
  <si>
    <t>Progress Summary</t>
  </si>
  <si>
    <t>Last updated</t>
  </si>
  <si>
    <t>Total Controls</t>
  </si>
  <si>
    <t>Implemented</t>
  </si>
  <si>
    <t>In Progress</t>
  </si>
  <si>
    <t>% Implemented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</si>
</sst>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14495A"/>
      <name val="Calibri"/>
    </font>
    <font>
      <b/>
      <sz val="10.0"/>
      <color rgb="FFFFFFFF"/>
      <name val="Calibri"/>
    </font>
    <font>
      <sz val="10.0"/>
      <color rgb="FF222222"/>
      <name val="Calibri"/>
    </font>
    <font>
      <i/>
      <sz val="9.0"/>
      <color rgb="FF777777"/>
      <name val="Calibri"/>
    </font>
    <font>
      <b/>
      <sz val="14.0"/>
      <color rgb="FF14495A"/>
      <name val="Calibri"/>
    </font>
    <font>
      <b/>
      <sz val="11.0"/>
      <color rgb="FF222222"/>
      <name val="Calibri"/>
    </font>
    <font>
      <b/>
      <sz val="11.0"/>
      <color rgb="FF1E8A7A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4495A"/>
        <bgColor rgb="FF14495A"/>
      </patternFill>
    </fill>
    <fill>
      <patternFill patternType="solid">
        <fgColor rgb="FF1E8A7A"/>
        <bgColor rgb="FF1E8A7A"/>
      </patternFill>
    </fill>
    <fill>
      <patternFill patternType="solid">
        <fgColor rgb="FFF5F6F7"/>
        <bgColor rgb="FFF5F6F7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4" fontId="5" numFmtId="164" xfId="0" applyAlignment="1" applyBorder="1" applyFont="1" applyNumberFormat="1">
      <alignment horizontal="left" readingOrder="0"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5" fontId="5" numFmtId="164" xfId="0" applyAlignment="1" applyBorder="1" applyFont="1" applyNumberFormat="1">
      <alignment horizontal="left" readingOrder="0"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4" fillId="4" fontId="8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5" fontId="9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4.0"/>
    <col customWidth="1" min="4" max="4" width="26.0"/>
    <col customWidth="1" min="5" max="5" width="16.0"/>
    <col customWidth="1" min="6" max="6" width="22.0"/>
    <col customWidth="1" min="7" max="7" width="30.0"/>
    <col customWidth="1" min="8" max="8" width="14.0"/>
    <col customWidth="1" min="9" max="9" width="13.0"/>
    <col customWidth="1" min="10" max="10" width="15.0"/>
    <col customWidth="1" min="11" max="11" width="28.0"/>
    <col customWidth="1" min="12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1</v>
      </c>
    </row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7">
        <v>46211.0</v>
      </c>
      <c r="J5" s="6"/>
      <c r="K5" s="6"/>
    </row>
    <row r="6">
      <c r="A6" s="8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8" t="s">
        <v>27</v>
      </c>
      <c r="H6" s="8" t="s">
        <v>20</v>
      </c>
      <c r="I6" s="9">
        <v>46211.0</v>
      </c>
      <c r="J6" s="8"/>
      <c r="K6" s="8"/>
    </row>
    <row r="7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20</v>
      </c>
      <c r="I7" s="7">
        <v>46211.0</v>
      </c>
      <c r="J7" s="6"/>
      <c r="K7" s="6"/>
    </row>
    <row r="8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20</v>
      </c>
      <c r="I8" s="9">
        <v>46212.0</v>
      </c>
      <c r="J8" s="8"/>
      <c r="K8" s="8"/>
    </row>
    <row r="9">
      <c r="A9" s="6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20</v>
      </c>
      <c r="I9" s="7">
        <v>46212.0</v>
      </c>
      <c r="J9" s="6"/>
      <c r="K9" s="6"/>
    </row>
    <row r="10">
      <c r="A10" s="8" t="s">
        <v>49</v>
      </c>
      <c r="B10" s="8" t="s">
        <v>50</v>
      </c>
      <c r="C10" s="8" t="s">
        <v>51</v>
      </c>
      <c r="D10" s="8" t="s">
        <v>52</v>
      </c>
      <c r="E10" s="8" t="s">
        <v>53</v>
      </c>
      <c r="F10" s="8" t="s">
        <v>50</v>
      </c>
      <c r="G10" s="8" t="s">
        <v>54</v>
      </c>
      <c r="H10" s="8" t="s">
        <v>20</v>
      </c>
      <c r="I10" s="9">
        <v>46213.0</v>
      </c>
      <c r="J10" s="8"/>
      <c r="K10" s="8"/>
    </row>
    <row r="12">
      <c r="A12" s="10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12:K12"/>
  </mergeCells>
  <conditionalFormatting sqref="H5:H10">
    <cfRule type="cellIs" dxfId="0" priority="1" operator="equal">
      <formula>"Implemented"</formula>
    </cfRule>
  </conditionalFormatting>
  <conditionalFormatting sqref="H5:H10">
    <cfRule type="cellIs" dxfId="1" priority="2" operator="equal">
      <formula>"In Progress"</formula>
    </cfRule>
  </conditionalFormatting>
  <conditionalFormatting sqref="H5:H10">
    <cfRule type="cellIs" dxfId="2" priority="3" operator="equal">
      <formula>"Planned"</formula>
    </cfRule>
  </conditionalFormatting>
  <dataValidations>
    <dataValidation type="list" allowBlank="1" sqref="H5:H10">
      <formula1>"Planned,In Progress,Implemented"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26" width="8.71"/>
  </cols>
  <sheetData>
    <row r="1" ht="25.5" customHeight="1">
      <c r="A1" s="11" t="s">
        <v>56</v>
      </c>
    </row>
    <row r="2">
      <c r="A2" s="10" t="s">
        <v>57</v>
      </c>
      <c r="B2" s="12">
        <v>46210.0</v>
      </c>
    </row>
    <row r="4" ht="21.75" customHeight="1">
      <c r="A4" s="13" t="s">
        <v>58</v>
      </c>
      <c r="B4" s="14">
        <f>COUNTA('GRC Mapping'!A5:A10)</f>
        <v>6</v>
      </c>
    </row>
    <row r="5" ht="21.75" customHeight="1">
      <c r="A5" s="13" t="s">
        <v>59</v>
      </c>
      <c r="B5" s="14">
        <f>COUNTIF('GRC Mapping'!H5:H10,"Implemented")</f>
        <v>0</v>
      </c>
    </row>
    <row r="6" ht="21.75" customHeight="1">
      <c r="A6" s="13" t="s">
        <v>60</v>
      </c>
      <c r="B6" s="14">
        <f>COUNTIF('GRC Mapping'!H5:H10,"In Progress")</f>
        <v>0</v>
      </c>
    </row>
    <row r="7" ht="21.75" customHeight="1">
      <c r="A7" s="13" t="s">
        <v>20</v>
      </c>
      <c r="B7" s="14">
        <f>COUNTIF('GRC Mapping'!H5:H10,"Planned")</f>
        <v>6</v>
      </c>
    </row>
    <row r="8" ht="21.75" customHeight="1">
      <c r="A8" s="13" t="s">
        <v>61</v>
      </c>
      <c r="B8" s="15">
        <f>B5/B4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